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ec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<sst xmlns="http://schemas.openxmlformats.org/spreadsheetml/2006/main" uniqueCount="22">
  <si>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Excel check: does SUM of three 2-decimal Weighted Scores + XLOOKUP(…,1) over the stored band maxima give the same Term Grade as the exact 2-decimal Initial Grade?</t>
  </si>
  <si>
    <t>Open in Excel (Microsoft 365 / 2021+ for XLOOKUP), press Ctrl+Alt+F9, then read columns F, G, I and J. Do not edit cells.</t>
  </si>
  <si>
    <t>Case</t>
  </si>
  <si>
    <t>P17 (WW WS)</t>
  </si>
  <si>
    <t>AC17 (PT WS)</t>
  </si>
  <si>
    <t>AK17 (EX WS)</t>
  </si>
  <si>
    <t>Exact Initial Grade</t>
  </si>
  <si>
    <t>AL17 =SUM(B:D)</t>
  </si>
  <si>
    <t>AL17 = exact? (=F=E)</t>
  </si>
  <si>
    <t>Term Grade of the exact value</t>
  </si>
  <si>
    <t>AM17 =XLOOKUP(F, …, 1)</t>
  </si>
  <si>
    <t>(F-E)*1E15 (binary noise)</t>
  </si>
  <si>
    <t>System (exact decimal) Term Grade</t>
  </si>
  <si>
    <t>Strict-IEEE evaluator Term Grade</t>
  </si>
  <si>
    <t>74.71 from 0 + 46 + 28.71 (the open case)</t>
  </si>
  <si>
    <t>74.71 from 0.40 + 45 + 29.31 (exact sum)</t>
  </si>
  <si>
    <t>69.99 from 0.20 + 40 + 29.79</t>
  </si>
  <si>
    <t>69.99 from 0 + 40.50 + 29.49</t>
  </si>
  <si>
    <t>71.17 from 14.60 + 50 + 6.57</t>
  </si>
  <si>
    <t>70.00 from 0 + 40 + 30</t>
  </si>
  <si>
    <t>HELPER!C (stored max)</t>
  </si>
  <si>
    <t>HELPER!D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</si>
</sst>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4" spans="1:1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</row>
    <row r="5" spans="1:15">
      <c r="A5" t="s">
        <v>14</v>
      </c>
      <c r="B5">
        <v>0.0</v>
      </c>
      <c r="C5">
        <v>46.0</v>
      </c>
      <c r="D5">
        <v>28.71</v>
      </c>
      <c r="E5">
        <v>74.71</v>
      </c>
      <c r="F5" t="str">
        <f>SUM(B5,C5,D5)</f>
        <v>0</v>
      </c>
      <c r="G5" t="str">
        <f>F5=E5</f>
        <v>0</v>
      </c>
      <c r="H5" t="str">
        <f>_xlfn.XLOOKUP(E5,$N$7:$N$47,$O$7:$O$47,,1)</f>
        <v>0</v>
      </c>
      <c r="I5" t="str">
        <f>_xlfn.XLOOKUP(F5,$N$7:$N$47,$O$7:$O$47,,1)</f>
        <v>0</v>
      </c>
      <c r="J5" t="str">
        <f>(F5-E5)*1E+15</f>
        <v>0</v>
      </c>
      <c r="K5">
        <v>78</v>
      </c>
      <c r="L5">
        <v>79</v>
      </c>
    </row>
    <row r="6" spans="1:15">
      <c r="A6" t="s">
        <v>15</v>
      </c>
      <c r="B6">
        <v>0.4</v>
      </c>
      <c r="C6">
        <v>45.0</v>
      </c>
      <c r="D6">
        <v>29.31</v>
      </c>
      <c r="E6">
        <v>74.71</v>
      </c>
      <c r="F6" t="str">
        <f>SUM(B6,C6,D6)</f>
        <v>0</v>
      </c>
      <c r="G6" t="str">
        <f>F6=E6</f>
        <v>0</v>
      </c>
      <c r="H6" t="str">
        <f>_xlfn.XLOOKUP(E6,$N$7:$N$47,$O$7:$O$47,,1)</f>
        <v>0</v>
      </c>
      <c r="I6" t="str">
        <f>_xlfn.XLOOKUP(F6,$N$7:$N$47,$O$7:$O$47,,1)</f>
        <v>0</v>
      </c>
      <c r="J6" t="str">
        <f>(F6-E6)*1E+15</f>
        <v>0</v>
      </c>
      <c r="K6">
        <v>78</v>
      </c>
      <c r="L6">
        <v>78</v>
      </c>
      <c r="N6" t="s">
        <v>20</v>
      </c>
      <c r="O6" t="s">
        <v>21</v>
      </c>
    </row>
    <row r="7" spans="1:15">
      <c r="A7" t="s">
        <v>16</v>
      </c>
      <c r="B7">
        <v>0.2</v>
      </c>
      <c r="C7">
        <v>40.0</v>
      </c>
      <c r="D7">
        <v>29.79</v>
      </c>
      <c r="E7">
        <v>69.99</v>
      </c>
      <c r="F7" t="str">
        <f>SUM(B7,C7,D7)</f>
        <v>0</v>
      </c>
      <c r="G7" t="str">
        <f>F7=E7</f>
        <v>0</v>
      </c>
      <c r="H7" t="str">
        <f>_xlfn.XLOOKUP(E7,$N$7:$N$47,$O$7:$O$47,,1)</f>
        <v>0</v>
      </c>
      <c r="I7" t="str">
        <f>_xlfn.XLOOKUP(F7,$N$7:$N$47,$O$7:$O$47,,1)</f>
        <v>0</v>
      </c>
      <c r="J7" t="str">
        <f>(F7-E7)*1E+15</f>
        <v>0</v>
      </c>
      <c r="K7">
        <v>75</v>
      </c>
      <c r="L7">
        <v>75</v>
      </c>
      <c r="N7">
        <v>100.0</v>
      </c>
      <c r="O7">
        <v>100.0</v>
      </c>
    </row>
    <row r="8" spans="1:15">
      <c r="A8" t="s">
        <v>17</v>
      </c>
      <c r="B8">
        <v>0.0</v>
      </c>
      <c r="C8">
        <v>40.5</v>
      </c>
      <c r="D8">
        <v>29.49</v>
      </c>
      <c r="E8">
        <v>69.99</v>
      </c>
      <c r="F8" t="str">
        <f>SUM(B8,C8,D8)</f>
        <v>0</v>
      </c>
      <c r="G8" t="str">
        <f>F8=E8</f>
        <v>0</v>
      </c>
      <c r="H8" t="str">
        <f>_xlfn.XLOOKUP(E8,$N$7:$N$47,$O$7:$O$47,,1)</f>
        <v>0</v>
      </c>
      <c r="I8" t="str">
        <f>_xlfn.XLOOKUP(F8,$N$7:$N$47,$O$7:$O$47,,1)</f>
        <v>0</v>
      </c>
      <c r="J8" t="str">
        <f>(F8-E8)*1E+15</f>
        <v>0</v>
      </c>
      <c r="K8">
        <v>75</v>
      </c>
      <c r="L8">
        <v>75</v>
      </c>
      <c r="N8">
        <v>99.49</v>
      </c>
      <c r="O8">
        <v>99.0</v>
      </c>
    </row>
    <row r="9" spans="1:15">
      <c r="A9" t="s">
        <v>18</v>
      </c>
      <c r="B9">
        <v>14.6</v>
      </c>
      <c r="C9">
        <v>50.0</v>
      </c>
      <c r="D9">
        <v>6.57</v>
      </c>
      <c r="E9">
        <v>71.17</v>
      </c>
      <c r="F9" t="str">
        <f>SUM(B9,C9,D9)</f>
        <v>0</v>
      </c>
      <c r="G9" t="str">
        <f>F9=E9</f>
        <v>0</v>
      </c>
      <c r="H9" t="str">
        <f>_xlfn.XLOOKUP(E9,$N$7:$N$47,$O$7:$O$47,,1)</f>
        <v>0</v>
      </c>
      <c r="I9" t="str">
        <f>_xlfn.XLOOKUP(F9,$N$7:$N$47,$O$7:$O$47,,1)</f>
        <v>0</v>
      </c>
      <c r="J9" t="str">
        <f>(F9-E9)*1E+15</f>
        <v>0</v>
      </c>
      <c r="K9">
        <v>76</v>
      </c>
      <c r="L9">
        <v>76</v>
      </c>
      <c r="N9">
        <v>98.31</v>
      </c>
      <c r="O9">
        <v>98.0</v>
      </c>
    </row>
    <row r="10" spans="1:15">
      <c r="A10" t="s">
        <v>19</v>
      </c>
      <c r="B10">
        <v>0.0</v>
      </c>
      <c r="C10">
        <v>40.0</v>
      </c>
      <c r="D10">
        <v>30.0</v>
      </c>
      <c r="E10">
        <v>70.0</v>
      </c>
      <c r="F10" t="str">
        <f>SUM(B10,C10,D10)</f>
        <v>0</v>
      </c>
      <c r="G10" t="str">
        <f>F10=E10</f>
        <v>0</v>
      </c>
      <c r="H10" t="str">
        <f>_xlfn.XLOOKUP(E10,$N$7:$N$47,$O$7:$O$47,,1)</f>
        <v>0</v>
      </c>
      <c r="I10" t="str">
        <f>_xlfn.XLOOKUP(F10,$N$7:$N$47,$O$7:$O$47,,1)</f>
        <v>0</v>
      </c>
      <c r="J10" t="str">
        <f>(F10-E10)*1E+15</f>
        <v>0</v>
      </c>
      <c r="K10">
        <v>75</v>
      </c>
      <c r="L10">
        <v>75</v>
      </c>
      <c r="N10">
        <v>97.13</v>
      </c>
      <c r="O10">
        <v>97.0</v>
      </c>
    </row>
    <row r="11" spans="1:15">
      <c r="N11">
        <v>95.95</v>
      </c>
      <c r="O11">
        <v>96.0</v>
      </c>
    </row>
    <row r="12" spans="1:15">
      <c r="N12">
        <v>94.77</v>
      </c>
      <c r="O12">
        <v>95.0</v>
      </c>
    </row>
    <row r="13" spans="1:15">
      <c r="N13">
        <v>93.59</v>
      </c>
      <c r="O13">
        <v>94.0</v>
      </c>
    </row>
    <row r="14" spans="1:15">
      <c r="N14">
        <v>92.41</v>
      </c>
      <c r="O14">
        <v>93.0</v>
      </c>
    </row>
    <row r="15" spans="1:15">
      <c r="N15">
        <v>91.23</v>
      </c>
      <c r="O15">
        <v>92.0</v>
      </c>
    </row>
    <row r="16" spans="1:15">
      <c r="N16">
        <v>90.05</v>
      </c>
      <c r="O16">
        <v>91.0</v>
      </c>
    </row>
    <row r="17" spans="1:15">
      <c r="N17">
        <v>88.87</v>
      </c>
      <c r="O17">
        <v>90.0</v>
      </c>
    </row>
    <row r="18" spans="1:15">
      <c r="N18">
        <v>87.69</v>
      </c>
      <c r="O18">
        <v>89.0</v>
      </c>
    </row>
    <row r="19" spans="1:15">
      <c r="N19">
        <v>86.51</v>
      </c>
      <c r="O19">
        <v>88.0</v>
      </c>
    </row>
    <row r="20" spans="1:15">
      <c r="N20">
        <v>85.33</v>
      </c>
      <c r="O20">
        <v>87.0</v>
      </c>
    </row>
    <row r="21" spans="1:15">
      <c r="N21">
        <v>84.15</v>
      </c>
      <c r="O21">
        <v>86.0</v>
      </c>
    </row>
    <row r="22" spans="1:15">
      <c r="N22">
        <v>82.97</v>
      </c>
      <c r="O22">
        <v>85.0</v>
      </c>
    </row>
    <row r="23" spans="1:15">
      <c r="N23">
        <v>81.79</v>
      </c>
      <c r="O23">
        <v>84.0</v>
      </c>
    </row>
    <row r="24" spans="1:15">
      <c r="N24">
        <v>80.61</v>
      </c>
      <c r="O24">
        <v>83.0</v>
      </c>
    </row>
    <row r="25" spans="1:15">
      <c r="N25">
        <v>79.43</v>
      </c>
      <c r="O25">
        <v>82.0</v>
      </c>
    </row>
    <row r="26" spans="1:15">
      <c r="N26">
        <v>78.25</v>
      </c>
      <c r="O26">
        <v>81.0</v>
      </c>
    </row>
    <row r="27" spans="1:15">
      <c r="N27">
        <v>77.07</v>
      </c>
      <c r="O27">
        <v>80.0</v>
      </c>
    </row>
    <row r="28" spans="1:15">
      <c r="N28">
        <v>75.89</v>
      </c>
      <c r="O28">
        <v>79.0</v>
      </c>
    </row>
    <row r="29" spans="1:15">
      <c r="N29">
        <v>74.71</v>
      </c>
      <c r="O29">
        <v>78.0</v>
      </c>
    </row>
    <row r="30" spans="1:15">
      <c r="N30">
        <v>73.53</v>
      </c>
      <c r="O30">
        <v>77.0</v>
      </c>
    </row>
    <row r="31" spans="1:15">
      <c r="N31">
        <v>72.35</v>
      </c>
      <c r="O31">
        <v>76.0</v>
      </c>
    </row>
    <row r="32" spans="1:15">
      <c r="N32">
        <v>71.1699999999999</v>
      </c>
      <c r="O32">
        <v>75.0</v>
      </c>
    </row>
    <row r="33" spans="1:15">
      <c r="N33">
        <v>69.9899999999999</v>
      </c>
      <c r="O33">
        <v>74.0</v>
      </c>
    </row>
    <row r="34" spans="1:15">
      <c r="N34">
        <v>65.33</v>
      </c>
      <c r="O34">
        <v>73.0</v>
      </c>
    </row>
    <row r="35" spans="1:15">
      <c r="N35">
        <v>60.66</v>
      </c>
      <c r="O35">
        <v>72.0</v>
      </c>
    </row>
    <row r="36" spans="1:15">
      <c r="N36">
        <v>56.0</v>
      </c>
      <c r="O36">
        <v>71.0</v>
      </c>
    </row>
    <row r="37" spans="1:15">
      <c r="N37">
        <v>51.33</v>
      </c>
      <c r="O37">
        <v>70.0</v>
      </c>
    </row>
    <row r="38" spans="1:15">
      <c r="N38">
        <v>46.66</v>
      </c>
      <c r="O38">
        <v>69.0</v>
      </c>
    </row>
    <row r="39" spans="1:15">
      <c r="N39">
        <v>42.0</v>
      </c>
      <c r="O39">
        <v>68.0</v>
      </c>
    </row>
    <row r="40" spans="1:15">
      <c r="N40">
        <v>37.33</v>
      </c>
      <c r="O40">
        <v>67.0</v>
      </c>
    </row>
    <row r="41" spans="1:15">
      <c r="N41">
        <v>32.67</v>
      </c>
      <c r="O41">
        <v>66.0</v>
      </c>
    </row>
    <row r="42" spans="1:15">
      <c r="N42">
        <v>28.0</v>
      </c>
      <c r="O42">
        <v>65.0</v>
      </c>
    </row>
    <row r="43" spans="1:15">
      <c r="N43">
        <v>23.34</v>
      </c>
      <c r="O43">
        <v>64.0</v>
      </c>
    </row>
    <row r="44" spans="1:15">
      <c r="N44">
        <v>18.67</v>
      </c>
      <c r="O44">
        <v>63.0</v>
      </c>
    </row>
    <row r="45" spans="1:15">
      <c r="N45">
        <v>14.0</v>
      </c>
      <c r="O45">
        <v>62.0</v>
      </c>
    </row>
    <row r="46" spans="1:15">
      <c r="N46">
        <v>9.34</v>
      </c>
      <c r="O46">
        <v>61.0</v>
      </c>
    </row>
    <row r="47" spans="1:15">
      <c r="N47">
        <v>4.67</v>
      </c>
      <c r="O47">
        <v>60.0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2026-10-04T15:20:26+02:00</dcterms:created>
  <dcterms:modified xsi:type="dcterms:W3CDTF">2026-10-04T15:20:26+02:00</dcterms:modified>
  <dc:title>Untitled Spreadsheet</dc:title>
  <dc:description/>
  <dc:subject/>
  <cp:keywords/>
  <cp:category/>
</cp:coreProperties>
</file>